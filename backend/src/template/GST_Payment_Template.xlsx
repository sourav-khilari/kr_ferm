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wn_pr\Kr\kr_ferm\backend\src\template\"/>
    </mc:Choice>
  </mc:AlternateContent>
  <xr:revisionPtr revIDLastSave="0" documentId="13_ncr:1_{652DACDD-734D-4C37-8D08-AEF2DF1A1893}" xr6:coauthVersionLast="47" xr6:coauthVersionMax="47" xr10:uidLastSave="{00000000-0000-0000-0000-000000000000}"/>
  <bookViews>
    <workbookView xWindow="-108" yWindow="-108" windowWidth="23256" windowHeight="12456" xr2:uid="{9B5721B8-0128-4B9E-815E-8C761AC86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G4" i="1" s="1"/>
  <c r="K4" i="1"/>
  <c r="M4" i="1" l="1"/>
  <c r="I4" i="1" l="1"/>
  <c r="N4" i="1"/>
</calcChain>
</file>

<file path=xl/sharedStrings.xml><?xml version="1.0" encoding="utf-8"?>
<sst xmlns="http://schemas.openxmlformats.org/spreadsheetml/2006/main" count="18" uniqueCount="18">
  <si>
    <t>KRISHNA ROADWAYS</t>
  </si>
  <si>
    <t>TRUCK PAYMENT DETAILS FOR THE PERIOD FROM 01.06.2026 to 15.06.2026 (WITH GST)</t>
  </si>
  <si>
    <t>Sl</t>
  </si>
  <si>
    <t>Truck Owner's Name</t>
  </si>
  <si>
    <t>Truck No</t>
  </si>
  <si>
    <t>Gross Payt</t>
  </si>
  <si>
    <t>Taxable Value</t>
  </si>
  <si>
    <t>Add: CGST @9%</t>
  </si>
  <si>
    <t>Add: SGST @9%</t>
  </si>
  <si>
    <t>Round off</t>
  </si>
  <si>
    <t>Invoice Value</t>
  </si>
  <si>
    <t>Diesel</t>
  </si>
  <si>
    <t>Total Diesel</t>
  </si>
  <si>
    <t>Less: Shortage</t>
  </si>
  <si>
    <t>Less: TDS</t>
  </si>
  <si>
    <t>Net Payment</t>
  </si>
  <si>
    <t>Jai Ram Singh</t>
  </si>
  <si>
    <t>JH10AU-7406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</si>
</sst>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9F4A-6141-45FA-9849-94910C8743EB}">
  <sheetPr>
    <pageSetUpPr fitToPage="1"/>
  </sheetPr>
  <dimension ref="A1:N4"/>
  <sheetViews>
    <sheetView tabSelected="1" workbookViewId="0">
      <selection activeCell="B3" sqref="B3"/>
    </sheetView>
  </sheetViews>
  <sheetFormatPr defaultRowHeight="14.4" x14ac:dyDescent="0.3"/>
  <cols>
    <col min="3" max="3" width="18.44140625" customWidth="1"/>
    <col min="4" max="4" width="12.5546875" customWidth="1"/>
    <col min="5" max="5" width="13.33203125" customWidth="1"/>
    <col min="6" max="7" width="14.33203125" customWidth="1"/>
    <col min="9" max="9" width="14.5546875" customWidth="1"/>
    <col min="10" max="10" width="11" customWidth="1"/>
    <col min="11" max="11" width="11.77734375" customWidth="1"/>
    <col min="13" max="13" width="11.88671875" customWidth="1"/>
    <col min="14" max="14" width="13.77734375" customWidth="1"/>
  </cols>
  <sheetData>
    <row r="1" spans="1:14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39.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31.2" x14ac:dyDescent="0.3">
      <c r="A4" s="4">
        <v>1</v>
      </c>
      <c r="B4" s="5" t="s">
        <v>16</v>
      </c>
      <c r="C4" s="2" t="s">
        <v>17</v>
      </c>
      <c r="D4" s="3">
        <v>150036</v>
      </c>
      <c r="E4" s="6">
        <f>+SUM(D4:D4)</f>
        <v>150036</v>
      </c>
      <c r="F4" s="6">
        <f>+E4*9%</f>
        <v>13503.24</v>
      </c>
      <c r="G4" s="6">
        <f>+F4</f>
        <v>13503.24</v>
      </c>
      <c r="H4" s="6">
        <v>-0.2</v>
      </c>
      <c r="I4" s="6">
        <f>+E4+F4+G4+H4</f>
        <v>177042.27999999997</v>
      </c>
      <c r="J4" s="3">
        <v>0</v>
      </c>
      <c r="K4" s="6">
        <f>+SUM(J4:J4)</f>
        <v>0</v>
      </c>
      <c r="L4" s="6">
        <v>0</v>
      </c>
      <c r="M4" s="6">
        <f>+ROUND(E4*1%,0)</f>
        <v>1500</v>
      </c>
      <c r="N4" s="6">
        <f>+I4-(K4+M4+L4)</f>
        <v>175542.27999999997</v>
      </c>
    </row>
  </sheetData>
  <mergeCells count="2">
    <mergeCell ref="A1:N1"/>
    <mergeCell ref="A2:N2"/>
  </mergeCells>
  <pageMargins left="0.13" right="0.2" top="0.27" bottom="0.26" header="0.3" footer="0.3"/>
  <pageSetup paperSize="9" scale="87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 KHILARI</dc:creator>
  <cp:lastModifiedBy>SOURAB KHILARI</cp:lastModifiedBy>
  <cp:lastPrinted>2026-07-09T06:49:16Z</cp:lastPrinted>
  <dcterms:created xsi:type="dcterms:W3CDTF">2026-07-09T06:29:38Z</dcterms:created>
  <dcterms:modified xsi:type="dcterms:W3CDTF">2026-07-27T09:52:40Z</dcterms:modified>
</cp:coreProperties>
</file>